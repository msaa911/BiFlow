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tDatosBiflow\"/>
    </mc:Choice>
  </mc:AlternateContent>
  <xr:revisionPtr revIDLastSave="0" documentId="8_{A614C501-9F15-4D7B-A952-2266741CCB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ICIO" sheetId="3" r:id="rId1"/>
    <sheet name="Flujo de Caja" sheetId="2" r:id="rId2"/>
  </sheets>
  <definedNames>
    <definedName name="Bien">#REF!</definedName>
    <definedName name="BIENALQUILAD0">#REF!</definedName>
    <definedName name="ubigeo">#REF!</definedName>
    <definedName name="ubigeos">#REF!</definedName>
    <definedName name="via">#REF!</definedName>
    <definedName name="vias">#REF!</definedName>
    <definedName name="viass">#REF!</definedName>
    <definedName name="ZO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2" l="1"/>
  <c r="C8" i="2"/>
  <c r="O36" i="2"/>
  <c r="O35" i="2"/>
  <c r="O34" i="2"/>
  <c r="O33" i="2"/>
  <c r="O32" i="2"/>
  <c r="O31" i="2"/>
  <c r="O30" i="2"/>
  <c r="O26" i="2"/>
  <c r="O25" i="2"/>
  <c r="O14" i="2"/>
  <c r="O15" i="2"/>
  <c r="O16" i="2"/>
  <c r="O17" i="2"/>
  <c r="O18" i="2"/>
  <c r="O19" i="2"/>
  <c r="O20" i="2"/>
  <c r="O21" i="2"/>
  <c r="D8" i="2"/>
  <c r="E8" i="2"/>
  <c r="F8" i="2"/>
  <c r="G8" i="2"/>
  <c r="H8" i="2"/>
  <c r="I8" i="2"/>
  <c r="J8" i="2"/>
  <c r="K8" i="2"/>
  <c r="L8" i="2"/>
  <c r="M8" i="2"/>
  <c r="N8" i="2"/>
  <c r="D9" i="2"/>
  <c r="E9" i="2"/>
  <c r="F9" i="2"/>
  <c r="G9" i="2"/>
  <c r="H9" i="2"/>
  <c r="I9" i="2"/>
  <c r="J9" i="2"/>
  <c r="K9" i="2"/>
  <c r="L9" i="2"/>
  <c r="M9" i="2"/>
  <c r="N9" i="2"/>
  <c r="C9" i="2"/>
  <c r="N29" i="2"/>
  <c r="M29" i="2"/>
  <c r="L29" i="2"/>
  <c r="K29" i="2"/>
  <c r="J29" i="2"/>
  <c r="I29" i="2"/>
  <c r="H29" i="2"/>
  <c r="G29" i="2"/>
  <c r="F29" i="2"/>
  <c r="E29" i="2"/>
  <c r="D29" i="2"/>
  <c r="C29" i="2"/>
  <c r="D24" i="2"/>
  <c r="E24" i="2"/>
  <c r="F24" i="2"/>
  <c r="G24" i="2"/>
  <c r="H24" i="2"/>
  <c r="I24" i="2"/>
  <c r="J24" i="2"/>
  <c r="K24" i="2"/>
  <c r="L24" i="2"/>
  <c r="M24" i="2"/>
  <c r="N24" i="2"/>
  <c r="C24" i="2"/>
  <c r="D13" i="2"/>
  <c r="E13" i="2"/>
  <c r="F13" i="2"/>
  <c r="G13" i="2"/>
  <c r="I13" i="2"/>
  <c r="J13" i="2"/>
  <c r="K13" i="2"/>
  <c r="L13" i="2"/>
  <c r="M13" i="2"/>
  <c r="N13" i="2"/>
  <c r="C13" i="2"/>
  <c r="D10" i="2" l="1"/>
  <c r="G10" i="2"/>
  <c r="M10" i="2"/>
  <c r="E10" i="2"/>
  <c r="F10" i="2"/>
  <c r="I10" i="2"/>
  <c r="J10" i="2"/>
  <c r="C10" i="2"/>
  <c r="C11" i="2" s="1"/>
  <c r="O29" i="2"/>
  <c r="O13" i="2"/>
  <c r="O9" i="2"/>
  <c r="N10" i="2"/>
  <c r="L10" i="2"/>
  <c r="H10" i="2"/>
  <c r="O24" i="2"/>
  <c r="K10" i="2"/>
  <c r="O8" i="2"/>
  <c r="D11" i="2" l="1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O10" i="2"/>
  <c r="B3" i="2" s="1"/>
</calcChain>
</file>

<file path=xl/sharedStrings.xml><?xml version="1.0" encoding="utf-8"?>
<sst xmlns="http://schemas.openxmlformats.org/spreadsheetml/2006/main" count="43" uniqueCount="43">
  <si>
    <t>Pagos de impuestos</t>
  </si>
  <si>
    <t>Pagos de servicios públicos</t>
  </si>
  <si>
    <t>Flujos operativos</t>
  </si>
  <si>
    <t>Flujos de inversión</t>
  </si>
  <si>
    <t>Flujos financieros</t>
  </si>
  <si>
    <t>Pagos a proveedores</t>
  </si>
  <si>
    <t>Pagos de nóminas</t>
  </si>
  <si>
    <t>Cobros por ventas al contado</t>
  </si>
  <si>
    <t>Cobros por ventas a plazo</t>
  </si>
  <si>
    <t>Pagos de intereses</t>
  </si>
  <si>
    <t>Cobros por ventas de activo fijo</t>
  </si>
  <si>
    <t>Pagos por compras de activo fijo</t>
  </si>
  <si>
    <t>Pagos de arrendamientos</t>
  </si>
  <si>
    <t>Pagos de dividendos</t>
  </si>
  <si>
    <t>Pagos de préstamos bancarios</t>
  </si>
  <si>
    <t>Suma de cobros (entradas de efectivo)</t>
  </si>
  <si>
    <t>Suma de pagos (salidas de efectivo)</t>
  </si>
  <si>
    <t>www.todoexcel.com</t>
  </si>
  <si>
    <t>Dinero líquido al inicio (caja y bancos)</t>
  </si>
  <si>
    <t>Dinero líquido al final (caja y bancos)</t>
  </si>
  <si>
    <t>Pagos de aportes a la seguridad social</t>
  </si>
  <si>
    <t>Meses</t>
  </si>
  <si>
    <t>Pagos de acciones</t>
  </si>
  <si>
    <t>Cobros por intereses</t>
  </si>
  <si>
    <t>Cobros por préstamos bancarios</t>
  </si>
  <si>
    <t>Cobros por dividendos</t>
  </si>
  <si>
    <t>Total</t>
  </si>
  <si>
    <t>Flujo de caja neto (cobros - pagos)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</si>
  <si>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</si>
  <si>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</si>
  <si>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</si>
  <si>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</si>
  <si>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</si>
  <si>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</si>
  <si>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</si>
  <si>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</si>
  <si>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</si>
  <si>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</si>
  <si>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</si>
  <si>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</si>
  <si>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Flujo de Caja Mensual</t>
  </si>
  <si>
    <t>Instrucciones: solo debes completar las celdas de bordes Rojos</t>
  </si>
  <si>
    <t>Contáctanos: 993854499 - 970982933 | Gustavo@excelnegocios.com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</si>
</sst>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[Red]\(#,##0.0\)"/>
  </numFmts>
  <fonts count="14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  <font>
      <b/>
      <i/>
      <sz val="18"/>
      <color indexed="18"/>
      <name val="Calibri"/>
      <family val="2"/>
    </font>
    <font>
      <b/>
      <sz val="10"/>
      <color indexed="17"/>
      <name val="Calibri"/>
      <family val="2"/>
    </font>
    <font>
      <sz val="10"/>
      <color indexed="17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u/>
      <sz val="10"/>
      <color theme="10"/>
      <name val="Arial"/>
      <family val="2"/>
    </font>
    <font>
      <b/>
      <sz val="10"/>
      <color rgb="FFFF0000"/>
      <name val="Calibri"/>
      <family val="2"/>
    </font>
    <font>
      <u/>
      <sz val="10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33"/>
      <color theme="0"/>
      <name val="Calibri"/>
      <family val="2"/>
    </font>
    <font>
      <b/>
      <sz val="16"/>
      <color rgb="FF44546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6A43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1" fillId="0" borderId="0"/>
    <xf numFmtId="0" fontId="6" fillId="0" borderId="0"/>
  </cellStyleXfs>
  <cellXfs count="45">
    <xf numFmtId="0" fontId="0" fillId="0" borderId="0" xfId="0"/>
    <xf numFmtId="164" fontId="3" fillId="0" borderId="0" xfId="0" applyNumberFormat="1" applyFont="1" applyProtection="1">
      <protection locked="0"/>
    </xf>
    <xf numFmtId="164" fontId="1" fillId="0" borderId="0" xfId="0" applyNumberFormat="1" applyFont="1" applyProtection="1">
      <protection locked="0"/>
    </xf>
    <xf numFmtId="164" fontId="2" fillId="2" borderId="1" xfId="0" applyNumberFormat="1" applyFont="1" applyFill="1" applyBorder="1" applyAlignment="1" applyProtection="1">
      <alignment horizontal="left"/>
      <protection locked="0"/>
    </xf>
    <xf numFmtId="164" fontId="2" fillId="2" borderId="1" xfId="0" applyNumberFormat="1" applyFont="1" applyFill="1" applyBorder="1" applyAlignment="1" applyProtection="1">
      <alignment horizontal="right"/>
      <protection locked="0"/>
    </xf>
    <xf numFmtId="164" fontId="2" fillId="2" borderId="2" xfId="0" applyNumberFormat="1" applyFont="1" applyFill="1" applyBorder="1" applyAlignment="1" applyProtection="1">
      <alignment horizontal="right"/>
      <protection locked="0"/>
    </xf>
    <xf numFmtId="164" fontId="2" fillId="2" borderId="3" xfId="0" applyNumberFormat="1" applyFont="1" applyFill="1" applyBorder="1" applyAlignment="1" applyProtection="1">
      <alignment horizontal="right"/>
      <protection locked="0"/>
    </xf>
    <xf numFmtId="164" fontId="2" fillId="2" borderId="4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5" fontId="5" fillId="3" borderId="5" xfId="0" applyNumberFormat="1" applyFont="1" applyFill="1" applyBorder="1" applyProtection="1">
      <protection locked="0"/>
    </xf>
    <xf numFmtId="165" fontId="5" fillId="3" borderId="6" xfId="0" applyNumberFormat="1" applyFont="1" applyFill="1" applyBorder="1" applyProtection="1">
      <protection locked="0"/>
    </xf>
    <xf numFmtId="164" fontId="1" fillId="3" borderId="7" xfId="0" applyNumberFormat="1" applyFont="1" applyFill="1" applyBorder="1" applyAlignment="1" applyProtection="1">
      <alignment horizontal="right"/>
      <protection locked="0"/>
    </xf>
    <xf numFmtId="164" fontId="1" fillId="3" borderId="8" xfId="0" applyNumberFormat="1" applyFont="1" applyFill="1" applyBorder="1" applyAlignment="1" applyProtection="1">
      <alignment horizontal="right"/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5" fontId="5" fillId="3" borderId="9" xfId="0" applyNumberFormat="1" applyFont="1" applyFill="1" applyBorder="1"/>
    <xf numFmtId="165" fontId="4" fillId="3" borderId="10" xfId="0" applyNumberFormat="1" applyFont="1" applyFill="1" applyBorder="1"/>
    <xf numFmtId="165" fontId="5" fillId="3" borderId="11" xfId="0" applyNumberFormat="1" applyFont="1" applyFill="1" applyBorder="1"/>
    <xf numFmtId="165" fontId="4" fillId="3" borderId="12" xfId="0" applyNumberFormat="1" applyFont="1" applyFill="1" applyBorder="1"/>
    <xf numFmtId="165" fontId="5" fillId="3" borderId="13" xfId="0" applyNumberFormat="1" applyFont="1" applyFill="1" applyBorder="1"/>
    <xf numFmtId="165" fontId="4" fillId="3" borderId="14" xfId="0" applyNumberFormat="1" applyFont="1" applyFill="1" applyBorder="1"/>
    <xf numFmtId="165" fontId="5" fillId="3" borderId="15" xfId="0" applyNumberFormat="1" applyFont="1" applyFill="1" applyBorder="1"/>
    <xf numFmtId="165" fontId="4" fillId="3" borderId="16" xfId="0" applyNumberFormat="1" applyFont="1" applyFill="1" applyBorder="1"/>
    <xf numFmtId="165" fontId="4" fillId="2" borderId="3" xfId="0" applyNumberFormat="1" applyFont="1" applyFill="1" applyBorder="1"/>
    <xf numFmtId="165" fontId="4" fillId="2" borderId="17" xfId="0" applyNumberFormat="1" applyFont="1" applyFill="1" applyBorder="1"/>
    <xf numFmtId="165" fontId="4" fillId="2" borderId="18" xfId="0" applyNumberFormat="1" applyFont="1" applyFill="1" applyBorder="1"/>
    <xf numFmtId="165" fontId="5" fillId="0" borderId="22" xfId="0" applyNumberFormat="1" applyFont="1" applyBorder="1" applyProtection="1">
      <protection locked="0"/>
    </xf>
    <xf numFmtId="164" fontId="1" fillId="0" borderId="23" xfId="0" applyNumberFormat="1" applyFont="1" applyBorder="1" applyAlignment="1" applyProtection="1">
      <alignment horizontal="right"/>
      <protection locked="0"/>
    </xf>
    <xf numFmtId="165" fontId="4" fillId="0" borderId="24" xfId="0" applyNumberFormat="1" applyFont="1" applyBorder="1"/>
    <xf numFmtId="164" fontId="1" fillId="0" borderId="1" xfId="0" applyNumberFormat="1" applyFont="1" applyBorder="1" applyAlignment="1" applyProtection="1">
      <alignment horizontal="right"/>
      <protection locked="0"/>
    </xf>
    <xf numFmtId="165" fontId="4" fillId="0" borderId="3" xfId="0" applyNumberFormat="1" applyFont="1" applyBorder="1"/>
    <xf numFmtId="164" fontId="1" fillId="3" borderId="19" xfId="0" applyNumberFormat="1" applyFont="1" applyFill="1" applyBorder="1" applyAlignment="1" applyProtection="1">
      <alignment horizontal="right"/>
      <protection locked="0"/>
    </xf>
    <xf numFmtId="165" fontId="5" fillId="3" borderId="20" xfId="0" applyNumberFormat="1" applyFont="1" applyFill="1" applyBorder="1" applyProtection="1">
      <protection locked="0"/>
    </xf>
    <xf numFmtId="165" fontId="5" fillId="3" borderId="21" xfId="0" applyNumberFormat="1" applyFont="1" applyFill="1" applyBorder="1"/>
    <xf numFmtId="165" fontId="4" fillId="0" borderId="22" xfId="0" applyNumberFormat="1" applyFont="1" applyBorder="1" applyProtection="1">
      <protection locked="0"/>
    </xf>
    <xf numFmtId="164" fontId="9" fillId="0" borderId="0" xfId="0" applyNumberFormat="1" applyFont="1" applyProtection="1">
      <protection locked="0"/>
    </xf>
    <xf numFmtId="0" fontId="12" fillId="4" borderId="0" xfId="3" applyFont="1" applyFill="1" applyAlignment="1">
      <alignment vertical="center" textRotation="255"/>
    </xf>
    <xf numFmtId="0" fontId="6" fillId="0" borderId="0" xfId="4"/>
    <xf numFmtId="0" fontId="13" fillId="5" borderId="0" xfId="4" applyFont="1" applyFill="1" applyAlignment="1">
      <alignment horizontal="center" vertical="center"/>
    </xf>
    <xf numFmtId="164" fontId="8" fillId="0" borderId="0" xfId="1" applyNumberFormat="1" applyFill="1" applyBorder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10" fillId="0" borderId="0" xfId="1" applyFont="1" applyFill="1" applyBorder="1" applyAlignment="1" applyProtection="1">
      <alignment horizontal="center"/>
      <protection locked="0"/>
    </xf>
  </cellXfs>
  <cellStyles count="5">
    <cellStyle name="Hipervínculo" xfId="1" builtinId="8"/>
    <cellStyle name="Normal" xfId="0" builtinId="0"/>
    <cellStyle name="Normal 3" xfId="4" xr:uid="{708F92BF-965F-4CBC-9056-F63CE05D0343}"/>
    <cellStyle name="Normal 4" xfId="3" xr:uid="{35F14F39-5444-43F6-AE41-2C87B8F7CA7E}"/>
    <cellStyle name="Normal_Comentario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www.facebook.com/ExcelNegocios1/" TargetMode="External"/><Relationship Id="rId7" Type="http://schemas.openxmlformats.org/officeDocument/2006/relationships/hyperlink" Target="https://api.whatsapp.com/send?phone=51900000091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Flujo de Caja'!B1"/><Relationship Id="rId6" Type="http://schemas.openxmlformats.org/officeDocument/2006/relationships/image" Target="../media/image3.png"/><Relationship Id="rId11" Type="http://schemas.openxmlformats.org/officeDocument/2006/relationships/hyperlink" Target="https://www.youtube.com/@Sebaxtiani/videos" TargetMode="External"/><Relationship Id="rId5" Type="http://schemas.openxmlformats.org/officeDocument/2006/relationships/hyperlink" Target="https://www.instagram.com/excel_negocio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t.me/ExcelNegocios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676091</xdr:colOff>
      <xdr:row>1</xdr:row>
      <xdr:rowOff>101600</xdr:rowOff>
    </xdr:from>
    <xdr:to>
      <xdr:col>8</xdr:col>
      <xdr:colOff>387350</xdr:colOff>
      <xdr:row>21</xdr:row>
      <xdr:rowOff>11106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913311-D47F-4140-AE2D-5E1FA966E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90" t="23944" r="4930" b="21479"/>
        <a:stretch/>
      </xdr:blipFill>
      <xdr:spPr>
        <a:xfrm>
          <a:off x="676091" y="284480"/>
          <a:ext cx="5685339" cy="3567106"/>
        </a:xfrm>
        <a:prstGeom prst="rect">
          <a:avLst/>
        </a:prstGeom>
      </xdr:spPr>
    </xdr:pic>
    <xdr:clientData/>
  </xdr:twoCellAnchor>
  <xdr:twoCellAnchor editAs="oneCell">
    <xdr:from>
      <xdr:col>9</xdr:col>
      <xdr:colOff>349250</xdr:colOff>
      <xdr:row>0</xdr:row>
      <xdr:rowOff>19050</xdr:rowOff>
    </xdr:from>
    <xdr:to>
      <xdr:col>10</xdr:col>
      <xdr:colOff>399948</xdr:colOff>
      <xdr:row>4</xdr:row>
      <xdr:rowOff>95148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4CDF4A-C7CA-439E-85BE-97A83A616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0090" y="19050"/>
          <a:ext cx="797458" cy="807618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9</xdr:row>
      <xdr:rowOff>60325</xdr:rowOff>
    </xdr:from>
    <xdr:to>
      <xdr:col>10</xdr:col>
      <xdr:colOff>336471</xdr:colOff>
      <xdr:row>12</xdr:row>
      <xdr:rowOff>145971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F1C86C-023D-4F93-8B7D-25F955BF9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0" y="1706245"/>
          <a:ext cx="626031" cy="634286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13</xdr:row>
      <xdr:rowOff>155575</xdr:rowOff>
    </xdr:from>
    <xdr:to>
      <xdr:col>10</xdr:col>
      <xdr:colOff>304800</xdr:colOff>
      <xdr:row>17</xdr:row>
      <xdr:rowOff>15875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F88649-3F48-49F4-8585-D900BE37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7565" y="2533015"/>
          <a:ext cx="584835" cy="591820"/>
        </a:xfrm>
        <a:prstGeom prst="rect">
          <a:avLst/>
        </a:prstGeom>
      </xdr:spPr>
    </xdr:pic>
    <xdr:clientData/>
  </xdr:twoCellAnchor>
  <xdr:twoCellAnchor editAs="oneCell">
    <xdr:from>
      <xdr:col>9</xdr:col>
      <xdr:colOff>425450</xdr:colOff>
      <xdr:row>18</xdr:row>
      <xdr:rowOff>95250</xdr:rowOff>
    </xdr:from>
    <xdr:to>
      <xdr:col>10</xdr:col>
      <xdr:colOff>295196</xdr:colOff>
      <xdr:row>22</xdr:row>
      <xdr:rowOff>3096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5EA5536-3CDA-43C0-A5B2-2BBD3A47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290" y="3387090"/>
          <a:ext cx="616506" cy="639366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4</xdr:row>
      <xdr:rowOff>123825</xdr:rowOff>
    </xdr:from>
    <xdr:to>
      <xdr:col>10</xdr:col>
      <xdr:colOff>361950</xdr:colOff>
      <xdr:row>8</xdr:row>
      <xdr:rowOff>95250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7C5ED0C-B15C-4F0F-8D7E-4B0FEB3B9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855345"/>
          <a:ext cx="689610" cy="702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doexc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3CB6-02CB-4EA5-9B4D-CBE7E0D27871}">
  <sheetPr codeName="Hoja23"/>
  <dimension ref="A1:K23"/>
  <sheetViews>
    <sheetView showGridLines="0" showRowColHeaders="0" workbookViewId="0">
      <selection activeCell="Y17" sqref="Y17"/>
    </sheetView>
  </sheetViews>
  <sheetFormatPr baseColWidth="10" defaultColWidth="10.88671875" defaultRowHeight="14.4" x14ac:dyDescent="0.3"/>
  <cols>
    <col min="1" max="16384" width="10.88671875" style="40"/>
  </cols>
  <sheetData>
    <row r="1" spans="10:11" x14ac:dyDescent="0.3">
      <c r="J1" s="39"/>
      <c r="K1" s="39"/>
    </row>
    <row r="2" spans="10:11" x14ac:dyDescent="0.3">
      <c r="J2" s="39"/>
      <c r="K2" s="39"/>
    </row>
    <row r="3" spans="10:11" x14ac:dyDescent="0.3">
      <c r="J3" s="39"/>
      <c r="K3" s="39"/>
    </row>
    <row r="4" spans="10:11" x14ac:dyDescent="0.3">
      <c r="J4" s="39"/>
      <c r="K4" s="39"/>
    </row>
    <row r="5" spans="10:11" x14ac:dyDescent="0.3">
      <c r="J5" s="39"/>
      <c r="K5" s="39"/>
    </row>
    <row r="6" spans="10:11" x14ac:dyDescent="0.3">
      <c r="J6" s="39"/>
      <c r="K6" s="39"/>
    </row>
    <row r="7" spans="10:11" x14ac:dyDescent="0.3">
      <c r="J7" s="39"/>
      <c r="K7" s="39"/>
    </row>
    <row r="8" spans="10:11" x14ac:dyDescent="0.3">
      <c r="J8" s="39"/>
      <c r="K8" s="39"/>
    </row>
    <row r="9" spans="10:11" x14ac:dyDescent="0.3">
      <c r="J9" s="39"/>
      <c r="K9" s="39"/>
    </row>
    <row r="10" spans="10:11" x14ac:dyDescent="0.3">
      <c r="J10" s="39"/>
      <c r="K10" s="39"/>
    </row>
    <row r="11" spans="10:11" x14ac:dyDescent="0.3">
      <c r="J11" s="39"/>
      <c r="K11" s="39"/>
    </row>
    <row r="12" spans="10:11" x14ac:dyDescent="0.3">
      <c r="J12" s="39"/>
      <c r="K12" s="39"/>
    </row>
    <row r="13" spans="10:11" x14ac:dyDescent="0.3">
      <c r="J13" s="39"/>
      <c r="K13" s="39"/>
    </row>
    <row r="14" spans="10:11" x14ac:dyDescent="0.3">
      <c r="J14" s="39"/>
      <c r="K14" s="39"/>
    </row>
    <row r="15" spans="10:11" x14ac:dyDescent="0.3">
      <c r="J15" s="39"/>
      <c r="K15" s="39"/>
    </row>
    <row r="16" spans="10:11" x14ac:dyDescent="0.3">
      <c r="J16" s="39"/>
      <c r="K16" s="39"/>
    </row>
    <row r="17" spans="1:11" x14ac:dyDescent="0.3">
      <c r="J17" s="39"/>
      <c r="K17" s="39"/>
    </row>
    <row r="18" spans="1:11" x14ac:dyDescent="0.3">
      <c r="J18" s="39"/>
      <c r="K18" s="39"/>
    </row>
    <row r="19" spans="1:11" x14ac:dyDescent="0.3">
      <c r="J19" s="39"/>
      <c r="K19" s="39"/>
    </row>
    <row r="20" spans="1:11" x14ac:dyDescent="0.3">
      <c r="J20" s="39"/>
      <c r="K20" s="39"/>
    </row>
    <row r="21" spans="1:11" x14ac:dyDescent="0.3">
      <c r="J21" s="39"/>
      <c r="K21" s="39"/>
    </row>
    <row r="22" spans="1:11" x14ac:dyDescent="0.3">
      <c r="J22" s="39"/>
      <c r="K22" s="39"/>
    </row>
    <row r="23" spans="1:11" ht="21" x14ac:dyDescent="0.3">
      <c r="A23" s="41" t="s">
        <v>42</v>
      </c>
      <c r="B23" s="41"/>
      <c r="C23" s="41"/>
      <c r="D23" s="41"/>
      <c r="E23" s="41"/>
      <c r="F23" s="41"/>
      <c r="G23" s="41"/>
      <c r="H23" s="41"/>
      <c r="I23" s="41"/>
      <c r="J23" s="39"/>
      <c r="K23" s="39"/>
    </row>
  </sheetData>
  <sheetProtection algorithmName="SHA-512" hashValue="fTvrGqNgzwpjPWkGRy+SbyxcIkTgGOw1+yV7an2vkSCacgMq0wbNmWLs7FL47RaqTy13aoWUFdUNLQuZlqXPCQ==" saltValue="zeMJCiyZCDPU3TuoqhJr6w==" spinCount="100000" sheet="1" objects="1" scenarios="1"/>
  <mergeCells count="1">
    <mergeCell ref="A23: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O102"/>
  <sheetViews>
    <sheetView showGridLines="0" tabSelected="1" zoomScaleNormal="100" workbookViewId="0">
      <pane ySplit="12" topLeftCell="A13" activePane="bottomLeft" state="frozen"/>
      <selection pane="bottomLeft" activeCell="B1" sqref="B1"/>
    </sheetView>
  </sheetViews>
  <sheetFormatPr baseColWidth="10" defaultColWidth="11.44140625" defaultRowHeight="13.8" x14ac:dyDescent="0.3"/>
  <cols>
    <col min="1" max="1" width="2.6640625" style="2" customWidth="1"/>
    <col min="2" max="2" width="32.6640625" style="2" customWidth="1"/>
    <col min="3" max="14" width="9.6640625" style="2" customWidth="1"/>
    <col min="15" max="19" width="10.6640625" style="2" customWidth="1"/>
    <col min="20" max="16384" width="11.44140625" style="2"/>
  </cols>
  <sheetData>
    <row r="1" spans="2:15" ht="23.4" x14ac:dyDescent="0.45">
      <c r="B1" s="1" t="s">
        <v>40</v>
      </c>
      <c r="C1" s="38" t="s">
        <v>41</v>
      </c>
      <c r="N1" s="42" t="s">
        <v>17</v>
      </c>
      <c r="O1" s="42"/>
    </row>
    <row r="2" spans="2:15" x14ac:dyDescent="0.3">
      <c r="J2" s="43"/>
      <c r="K2" s="43"/>
      <c r="L2" s="43"/>
      <c r="M2" s="43"/>
      <c r="N2" s="43"/>
      <c r="O2" s="43"/>
    </row>
    <row r="3" spans="2:15" x14ac:dyDescent="0.3">
      <c r="B3" s="2" t="str">
        <f ca="1">IF(O13+O24+O29&lt;&gt;O10,"Cuidado, las fórmulas no cuadran!","Control de fórmulas OK")</f>
        <v>Control de fórmulas OK</v>
      </c>
      <c r="J3" s="44"/>
      <c r="K3" s="44"/>
      <c r="L3" s="44"/>
      <c r="M3" s="44"/>
      <c r="N3" s="44"/>
      <c r="O3" s="44"/>
    </row>
    <row r="5" spans="2:15" x14ac:dyDescent="0.3">
      <c r="B5" s="3" t="s">
        <v>21</v>
      </c>
      <c r="C5" s="4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6" t="s">
        <v>39</v>
      </c>
      <c r="O5" s="7" t="s">
        <v>26</v>
      </c>
    </row>
    <row r="6" spans="2:15" ht="12.75" customHeight="1" x14ac:dyDescent="0.3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5" x14ac:dyDescent="0.3">
      <c r="B7" s="34" t="s">
        <v>18</v>
      </c>
      <c r="C7" s="37">
        <v>30000</v>
      </c>
      <c r="D7" s="35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 spans="2:15" x14ac:dyDescent="0.3">
      <c r="B8" s="11" t="s">
        <v>15</v>
      </c>
      <c r="C8" s="36">
        <f ca="1">SUMIF(OFFSET(C13,1,0):OFFSET(C24,-1,0),"&gt;0",OFFSET(C13,1,0):OFFSET(C24,-1,0))+
SUMIF(OFFSET(C24,1,0):OFFSET(C29,-1,0),"&gt;0",OFFSET(C24,1,0):OFFSET(C29,-1,0))+
SUMIF(OFFSET(C29,1,0):OFFSET(C102,-1,0),"&gt;0",OFFSET(C29,1,0):OFFSET(C102,-1,0))</f>
        <v>32400</v>
      </c>
      <c r="D8" s="18">
        <f ca="1">SUMIF(OFFSET(D13,1,0):OFFSET(D24,-1,0),"&gt;0",OFFSET(D13,1,0):OFFSET(D24,-1,0))+
SUMIF(OFFSET(D24,1,0):OFFSET(D29,-1,0),"&gt;0",OFFSET(D24,1,0):OFFSET(D29,-1,0))+
SUMIF(OFFSET(D29,1,0):OFFSET(D102,-1,0),"&gt;0",OFFSET(D29,1,0):OFFSET(D102,-1,0))</f>
        <v>0</v>
      </c>
      <c r="E8" s="18">
        <f ca="1">SUMIF(OFFSET(E13,1,0):OFFSET(E24,-1,0),"&gt;0",OFFSET(E13,1,0):OFFSET(E24,-1,0))+
SUMIF(OFFSET(E24,1,0):OFFSET(E29,-1,0),"&gt;0",OFFSET(E24,1,0):OFFSET(E29,-1,0))+
SUMIF(OFFSET(E29,1,0):OFFSET(E102,-1,0),"&gt;0",OFFSET(E29,1,0):OFFSET(E102,-1,0))</f>
        <v>0</v>
      </c>
      <c r="F8" s="18">
        <f ca="1">SUMIF(OFFSET(F13,1,0):OFFSET(F24,-1,0),"&gt;0",OFFSET(F13,1,0):OFFSET(F24,-1,0))+
SUMIF(OFFSET(F24,1,0):OFFSET(F29,-1,0),"&gt;0",OFFSET(F24,1,0):OFFSET(F29,-1,0))+
SUMIF(OFFSET(F29,1,0):OFFSET(F102,-1,0),"&gt;0",OFFSET(F29,1,0):OFFSET(F102,-1,0))</f>
        <v>0</v>
      </c>
      <c r="G8" s="18">
        <f ca="1">SUMIF(OFFSET(G13,1,0):OFFSET(G24,-1,0),"&gt;0",OFFSET(G13,1,0):OFFSET(G24,-1,0))+
SUMIF(OFFSET(G24,1,0):OFFSET(G29,-1,0),"&gt;0",OFFSET(G24,1,0):OFFSET(G29,-1,0))+
SUMIF(OFFSET(G29,1,0):OFFSET(G102,-1,0),"&gt;0",OFFSET(G29,1,0):OFFSET(G102,-1,0))</f>
        <v>0</v>
      </c>
      <c r="H8" s="18">
        <f ca="1">SUMIF(OFFSET(H13,1,0):OFFSET(H24,-1,0),"&gt;0",OFFSET(H13,1,0):OFFSET(H24,-1,0))+
SUMIF(OFFSET(H24,1,0):OFFSET(H29,-1,0),"&gt;0",OFFSET(H24,1,0):OFFSET(H29,-1,0))+
SUMIF(OFFSET(H29,1,0):OFFSET(H102,-1,0),"&gt;0",OFFSET(H29,1,0):OFFSET(H102,-1,0))</f>
        <v>0</v>
      </c>
      <c r="I8" s="18">
        <f ca="1">SUMIF(OFFSET(I13,1,0):OFFSET(I24,-1,0),"&gt;0",OFFSET(I13,1,0):OFFSET(I24,-1,0))+
SUMIF(OFFSET(I24,1,0):OFFSET(I29,-1,0),"&gt;0",OFFSET(I24,1,0):OFFSET(I29,-1,0))+
SUMIF(OFFSET(I29,1,0):OFFSET(I102,-1,0),"&gt;0",OFFSET(I29,1,0):OFFSET(I102,-1,0))</f>
        <v>0</v>
      </c>
      <c r="J8" s="18">
        <f ca="1">SUMIF(OFFSET(J13,1,0):OFFSET(J24,-1,0),"&gt;0",OFFSET(J13,1,0):OFFSET(J24,-1,0))+
SUMIF(OFFSET(J24,1,0):OFFSET(J29,-1,0),"&gt;0",OFFSET(J24,1,0):OFFSET(J29,-1,0))+
SUMIF(OFFSET(J29,1,0):OFFSET(J102,-1,0),"&gt;0",OFFSET(J29,1,0):OFFSET(J102,-1,0))</f>
        <v>0</v>
      </c>
      <c r="K8" s="18">
        <f ca="1">SUMIF(OFFSET(K13,1,0):OFFSET(K24,-1,0),"&gt;0",OFFSET(K13,1,0):OFFSET(K24,-1,0))+
SUMIF(OFFSET(K24,1,0):OFFSET(K29,-1,0),"&gt;0",OFFSET(K24,1,0):OFFSET(K29,-1,0))+
SUMIF(OFFSET(K29,1,0):OFFSET(K102,-1,0),"&gt;0",OFFSET(K29,1,0):OFFSET(K102,-1,0))</f>
        <v>0</v>
      </c>
      <c r="L8" s="18">
        <f ca="1">SUMIF(OFFSET(L13,1,0):OFFSET(L24,-1,0),"&gt;0",OFFSET(L13,1,0):OFFSET(L24,-1,0))+
SUMIF(OFFSET(L24,1,0):OFFSET(L29,-1,0),"&gt;0",OFFSET(L24,1,0):OFFSET(L29,-1,0))+
SUMIF(OFFSET(L29,1,0):OFFSET(L102,-1,0),"&gt;0",OFFSET(L29,1,0):OFFSET(L102,-1,0))</f>
        <v>0</v>
      </c>
      <c r="M8" s="18">
        <f ca="1">SUMIF(OFFSET(M13,1,0):OFFSET(M24,-1,0),"&gt;0",OFFSET(M13,1,0):OFFSET(M24,-1,0))+
SUMIF(OFFSET(M24,1,0):OFFSET(M29,-1,0),"&gt;0",OFFSET(M24,1,0):OFFSET(M29,-1,0))+
SUMIF(OFFSET(M29,1,0):OFFSET(M102,-1,0),"&gt;0",OFFSET(M29,1,0):OFFSET(M102,-1,0))</f>
        <v>0</v>
      </c>
      <c r="N8" s="18">
        <f ca="1">SUMIF(OFFSET(N13,1,0):OFFSET(N24,-1,0),"&gt;0",OFFSET(N13,1,0):OFFSET(N24,-1,0))+
SUMIF(OFFSET(N24,1,0):OFFSET(N29,-1,0),"&gt;0",OFFSET(N24,1,0):OFFSET(N29,-1,0))+
SUMIF(OFFSET(N29,1,0):OFFSET(N102,-1,0),"&gt;0",OFFSET(N29,1,0):OFFSET(N102,-1,0))</f>
        <v>0</v>
      </c>
      <c r="O8" s="19">
        <f ca="1">SUM(C8:N8)</f>
        <v>32400</v>
      </c>
    </row>
    <row r="9" spans="2:15" x14ac:dyDescent="0.3">
      <c r="B9" s="11" t="s">
        <v>16</v>
      </c>
      <c r="C9" s="20">
        <f ca="1">SUMIF(OFFSET(C13,1,0):OFFSET(C24,-1,0),"&lt;0",OFFSET(C13,1,0):OFFSET(C24,-1,0))+
SUMIF(OFFSET(C24,1,0):OFFSET(C29,-1,0),"&lt;0",OFFSET(C24,1,0):OFFSET(C29,-1,0))+
SUMIF(OFFSET(C29,1,0):OFFSET(C102,-1,0),"&lt;0",OFFSET(C29,1,0):OFFSET(C102,-1,0))</f>
        <v>0</v>
      </c>
      <c r="D9" s="20">
        <f ca="1">SUMIF(OFFSET(D13,1,0):OFFSET(D24,-1,0),"&lt;0",OFFSET(D13,1,0):OFFSET(D24,-1,0))+
SUMIF(OFFSET(D24,1,0):OFFSET(D29,-1,0),"&lt;0",OFFSET(D24,1,0):OFFSET(D29,-1,0))+
SUMIF(OFFSET(D29,1,0):OFFSET(D102,-1,0),"&lt;0",OFFSET(D29,1,0):OFFSET(D102,-1,0))</f>
        <v>0</v>
      </c>
      <c r="E9" s="20">
        <f ca="1">SUMIF(OFFSET(E13,1,0):OFFSET(E24,-1,0),"&lt;0",OFFSET(E13,1,0):OFFSET(E24,-1,0))+
SUMIF(OFFSET(E24,1,0):OFFSET(E29,-1,0),"&lt;0",OFFSET(E24,1,0):OFFSET(E29,-1,0))+
SUMIF(OFFSET(E29,1,0):OFFSET(E102,-1,0),"&lt;0",OFFSET(E29,1,0):OFFSET(E102,-1,0))</f>
        <v>0</v>
      </c>
      <c r="F9" s="20">
        <f ca="1">SUMIF(OFFSET(F13,1,0):OFFSET(F24,-1,0),"&lt;0",OFFSET(F13,1,0):OFFSET(F24,-1,0))+
SUMIF(OFFSET(F24,1,0):OFFSET(F29,-1,0),"&lt;0",OFFSET(F24,1,0):OFFSET(F29,-1,0))+
SUMIF(OFFSET(F29,1,0):OFFSET(F102,-1,0),"&lt;0",OFFSET(F29,1,0):OFFSET(F102,-1,0))</f>
        <v>0</v>
      </c>
      <c r="G9" s="20">
        <f ca="1">SUMIF(OFFSET(G13,1,0):OFFSET(G24,-1,0),"&lt;0",OFFSET(G13,1,0):OFFSET(G24,-1,0))+
SUMIF(OFFSET(G24,1,0):OFFSET(G29,-1,0),"&lt;0",OFFSET(G24,1,0):OFFSET(G29,-1,0))+
SUMIF(OFFSET(G29,1,0):OFFSET(G102,-1,0),"&lt;0",OFFSET(G29,1,0):OFFSET(G102,-1,0))</f>
        <v>0</v>
      </c>
      <c r="H9" s="20">
        <f ca="1">SUMIF(OFFSET(H13,1,0):OFFSET(H24,-1,0),"&lt;0",OFFSET(H13,1,0):OFFSET(H24,-1,0))+
SUMIF(OFFSET(H24,1,0):OFFSET(H29,-1,0),"&lt;0",OFFSET(H24,1,0):OFFSET(H29,-1,0))+
SUMIF(OFFSET(H29,1,0):OFFSET(H102,-1,0),"&lt;0",OFFSET(H29,1,0):OFFSET(H102,-1,0))</f>
        <v>0</v>
      </c>
      <c r="I9" s="20">
        <f ca="1">SUMIF(OFFSET(I13,1,0):OFFSET(I24,-1,0),"&lt;0",OFFSET(I13,1,0):OFFSET(I24,-1,0))+
SUMIF(OFFSET(I24,1,0):OFFSET(I29,-1,0),"&lt;0",OFFSET(I24,1,0):OFFSET(I29,-1,0))+
SUMIF(OFFSET(I29,1,0):OFFSET(I102,-1,0),"&lt;0",OFFSET(I29,1,0):OFFSET(I102,-1,0))</f>
        <v>0</v>
      </c>
      <c r="J9" s="20">
        <f ca="1">SUMIF(OFFSET(J13,1,0):OFFSET(J24,-1,0),"&lt;0",OFFSET(J13,1,0):OFFSET(J24,-1,0))+
SUMIF(OFFSET(J24,1,0):OFFSET(J29,-1,0),"&lt;0",OFFSET(J24,1,0):OFFSET(J29,-1,0))+
SUMIF(OFFSET(J29,1,0):OFFSET(J102,-1,0),"&lt;0",OFFSET(J29,1,0):OFFSET(J102,-1,0))</f>
        <v>0</v>
      </c>
      <c r="K9" s="20">
        <f ca="1">SUMIF(OFFSET(K13,1,0):OFFSET(K24,-1,0),"&lt;0",OFFSET(K13,1,0):OFFSET(K24,-1,0))+
SUMIF(OFFSET(K24,1,0):OFFSET(K29,-1,0),"&lt;0",OFFSET(K24,1,0):OFFSET(K29,-1,0))+
SUMIF(OFFSET(K29,1,0):OFFSET(K102,-1,0),"&lt;0",OFFSET(K29,1,0):OFFSET(K102,-1,0))</f>
        <v>0</v>
      </c>
      <c r="L9" s="20">
        <f ca="1">SUMIF(OFFSET(L13,1,0):OFFSET(L24,-1,0),"&lt;0",OFFSET(L13,1,0):OFFSET(L24,-1,0))+
SUMIF(OFFSET(L24,1,0):OFFSET(L29,-1,0),"&lt;0",OFFSET(L24,1,0):OFFSET(L29,-1,0))+
SUMIF(OFFSET(L29,1,0):OFFSET(L102,-1,0),"&lt;0",OFFSET(L29,1,0):OFFSET(L102,-1,0))</f>
        <v>0</v>
      </c>
      <c r="M9" s="20">
        <f ca="1">SUMIF(OFFSET(M13,1,0):OFFSET(M24,-1,0),"&lt;0",OFFSET(M13,1,0):OFFSET(M24,-1,0))+
SUMIF(OFFSET(M24,1,0):OFFSET(M29,-1,0),"&lt;0",OFFSET(M24,1,0):OFFSET(M29,-1,0))+
SUMIF(OFFSET(M29,1,0):OFFSET(M102,-1,0),"&lt;0",OFFSET(M29,1,0):OFFSET(M102,-1,0))</f>
        <v>0</v>
      </c>
      <c r="N9" s="20">
        <f ca="1">SUMIF(OFFSET(N13,1,0):OFFSET(N24,-1,0),"&lt;0",OFFSET(N13,1,0):OFFSET(N24,-1,0))+
SUMIF(OFFSET(N24,1,0):OFFSET(N29,-1,0),"&lt;0",OFFSET(N24,1,0):OFFSET(N29,-1,0))+
SUMIF(OFFSET(N29,1,0):OFFSET(N102,-1,0),"&lt;0",OFFSET(N29,1,0):OFFSET(N102,-1,0))</f>
        <v>0</v>
      </c>
      <c r="O9" s="21">
        <f ca="1">SUM(C9:N9)</f>
        <v>0</v>
      </c>
    </row>
    <row r="10" spans="2:15" x14ac:dyDescent="0.3">
      <c r="B10" s="11" t="s">
        <v>27</v>
      </c>
      <c r="C10" s="22">
        <f ca="1">C8+C9</f>
        <v>32400</v>
      </c>
      <c r="D10" s="22">
        <f t="shared" ref="D10:N10" ca="1" si="0">D8+D9</f>
        <v>0</v>
      </c>
      <c r="E10" s="22">
        <f t="shared" ca="1" si="0"/>
        <v>0</v>
      </c>
      <c r="F10" s="22">
        <f t="shared" ca="1" si="0"/>
        <v>0</v>
      </c>
      <c r="G10" s="22">
        <f t="shared" ca="1" si="0"/>
        <v>0</v>
      </c>
      <c r="H10" s="22">
        <f t="shared" ca="1" si="0"/>
        <v>0</v>
      </c>
      <c r="I10" s="22">
        <f t="shared" ca="1" si="0"/>
        <v>0</v>
      </c>
      <c r="J10" s="22">
        <f t="shared" ca="1" si="0"/>
        <v>0</v>
      </c>
      <c r="K10" s="22">
        <f t="shared" ca="1" si="0"/>
        <v>0</v>
      </c>
      <c r="L10" s="22">
        <f t="shared" ca="1" si="0"/>
        <v>0</v>
      </c>
      <c r="M10" s="22">
        <f t="shared" ca="1" si="0"/>
        <v>0</v>
      </c>
      <c r="N10" s="22">
        <f t="shared" ca="1" si="0"/>
        <v>0</v>
      </c>
      <c r="O10" s="23">
        <f ca="1">SUM(C10:N10)</f>
        <v>32400</v>
      </c>
    </row>
    <row r="11" spans="2:15" x14ac:dyDescent="0.3">
      <c r="B11" s="12" t="s">
        <v>19</v>
      </c>
      <c r="C11" s="24">
        <f ca="1">C7+C10</f>
        <v>62400</v>
      </c>
      <c r="D11" s="24">
        <f ca="1">C11+D10</f>
        <v>62400</v>
      </c>
      <c r="E11" s="24">
        <f t="shared" ref="E11:N11" ca="1" si="1">D11+E10</f>
        <v>62400</v>
      </c>
      <c r="F11" s="24">
        <f t="shared" ca="1" si="1"/>
        <v>62400</v>
      </c>
      <c r="G11" s="24">
        <f t="shared" ca="1" si="1"/>
        <v>62400</v>
      </c>
      <c r="H11" s="24">
        <f t="shared" ca="1" si="1"/>
        <v>62400</v>
      </c>
      <c r="I11" s="24">
        <f t="shared" ca="1" si="1"/>
        <v>62400</v>
      </c>
      <c r="J11" s="24">
        <f t="shared" ca="1" si="1"/>
        <v>62400</v>
      </c>
      <c r="K11" s="24">
        <f t="shared" ca="1" si="1"/>
        <v>62400</v>
      </c>
      <c r="L11" s="24">
        <f t="shared" ca="1" si="1"/>
        <v>62400</v>
      </c>
      <c r="M11" s="24">
        <f t="shared" ca="1" si="1"/>
        <v>62400</v>
      </c>
      <c r="N11" s="24">
        <f t="shared" ca="1" si="1"/>
        <v>62400</v>
      </c>
      <c r="O11" s="25">
        <f ca="1">N11</f>
        <v>62400</v>
      </c>
    </row>
    <row r="13" spans="2:15" x14ac:dyDescent="0.3">
      <c r="B13" s="13" t="s">
        <v>2</v>
      </c>
      <c r="C13" s="27">
        <f ca="1">SUM(OFFSET(C13,1,0):OFFSET(C24,-1,0))</f>
        <v>31200</v>
      </c>
      <c r="D13" s="27">
        <f ca="1">SUM(OFFSET(D13,1,0):OFFSET(D24,-1,0))</f>
        <v>0</v>
      </c>
      <c r="E13" s="27">
        <f ca="1">SUM(OFFSET(E13,1,0):OFFSET(E24,-1,0))</f>
        <v>0</v>
      </c>
      <c r="F13" s="27">
        <f ca="1">SUM(OFFSET(F13,1,0):OFFSET(F24,-1,0))</f>
        <v>0</v>
      </c>
      <c r="G13" s="27">
        <f ca="1">SUM(OFFSET(G13,1,0):OFFSET(G24,-1,0))</f>
        <v>0</v>
      </c>
      <c r="H13" s="27">
        <f ca="1">SUM(OFFSET(H13,1,0):OFFSET(H24,-1,0))</f>
        <v>0</v>
      </c>
      <c r="I13" s="27">
        <f ca="1">SUM(OFFSET(I13,1,0):OFFSET(I24,-1,0))</f>
        <v>0</v>
      </c>
      <c r="J13" s="27">
        <f ca="1">SUM(OFFSET(J13,1,0):OFFSET(J24,-1,0))</f>
        <v>0</v>
      </c>
      <c r="K13" s="27">
        <f ca="1">SUM(OFFSET(K13,1,0):OFFSET(K24,-1,0))</f>
        <v>0</v>
      </c>
      <c r="L13" s="27">
        <f ca="1">SUM(OFFSET(L13,1,0):OFFSET(L24,-1,0))</f>
        <v>0</v>
      </c>
      <c r="M13" s="27">
        <f ca="1">SUM(OFFSET(M13,1,0):OFFSET(M24,-1,0))</f>
        <v>0</v>
      </c>
      <c r="N13" s="28">
        <f ca="1">SUM(OFFSET(N13,1,0):OFFSET(N24,-1,0))</f>
        <v>0</v>
      </c>
      <c r="O13" s="26">
        <f ca="1">SUM(C13:N13)</f>
        <v>31200</v>
      </c>
    </row>
    <row r="14" spans="2:15" x14ac:dyDescent="0.3">
      <c r="B14" s="30" t="s">
        <v>7</v>
      </c>
      <c r="C14" s="29">
        <v>15000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1">
        <f t="shared" ref="O14:O21" si="2">SUM(C14:N14)</f>
        <v>15000</v>
      </c>
    </row>
    <row r="15" spans="2:15" x14ac:dyDescent="0.3">
      <c r="B15" s="30" t="s">
        <v>8</v>
      </c>
      <c r="C15" s="29">
        <v>3500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1">
        <f t="shared" si="2"/>
        <v>3500</v>
      </c>
    </row>
    <row r="16" spans="2:15" x14ac:dyDescent="0.3">
      <c r="B16" s="30" t="s">
        <v>6</v>
      </c>
      <c r="C16" s="29">
        <v>4500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1">
        <f t="shared" si="2"/>
        <v>4500</v>
      </c>
    </row>
    <row r="17" spans="2:15" x14ac:dyDescent="0.3">
      <c r="B17" s="30" t="s">
        <v>20</v>
      </c>
      <c r="C17" s="29">
        <v>500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1">
        <f t="shared" si="2"/>
        <v>500</v>
      </c>
    </row>
    <row r="18" spans="2:15" x14ac:dyDescent="0.3">
      <c r="B18" s="30" t="s">
        <v>5</v>
      </c>
      <c r="C18" s="29">
        <v>5000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1">
        <f t="shared" si="2"/>
        <v>5000</v>
      </c>
    </row>
    <row r="19" spans="2:15" x14ac:dyDescent="0.3">
      <c r="B19" s="30" t="s">
        <v>12</v>
      </c>
      <c r="C19" s="29">
        <v>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1">
        <f t="shared" si="2"/>
        <v>0</v>
      </c>
    </row>
    <row r="20" spans="2:15" x14ac:dyDescent="0.3">
      <c r="B20" s="30" t="s">
        <v>1</v>
      </c>
      <c r="C20" s="29">
        <v>1500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1">
        <f t="shared" si="2"/>
        <v>1500</v>
      </c>
    </row>
    <row r="21" spans="2:15" x14ac:dyDescent="0.3">
      <c r="B21" s="30" t="s">
        <v>0</v>
      </c>
      <c r="C21" s="29">
        <v>1200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1">
        <f t="shared" si="2"/>
        <v>1200</v>
      </c>
    </row>
    <row r="22" spans="2:15" x14ac:dyDescent="0.3">
      <c r="B22" s="8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</row>
    <row r="23" spans="2:15" x14ac:dyDescent="0.3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</row>
    <row r="24" spans="2:15" x14ac:dyDescent="0.3">
      <c r="B24" s="13" t="s">
        <v>3</v>
      </c>
      <c r="C24" s="27">
        <f ca="1">SUM(OFFSET(C24,1,0):OFFSET(C29,-1,0))</f>
        <v>0</v>
      </c>
      <c r="D24" s="27">
        <f ca="1">SUM(OFFSET(D24,1,0):OFFSET(D29,-1,0))</f>
        <v>0</v>
      </c>
      <c r="E24" s="27">
        <f ca="1">SUM(OFFSET(E24,1,0):OFFSET(E29,-1,0))</f>
        <v>0</v>
      </c>
      <c r="F24" s="27">
        <f ca="1">SUM(OFFSET(F24,1,0):OFFSET(F29,-1,0))</f>
        <v>0</v>
      </c>
      <c r="G24" s="27">
        <f ca="1">SUM(OFFSET(G24,1,0):OFFSET(G29,-1,0))</f>
        <v>0</v>
      </c>
      <c r="H24" s="27">
        <f ca="1">SUM(OFFSET(H24,1,0):OFFSET(H29,-1,0))</f>
        <v>0</v>
      </c>
      <c r="I24" s="27">
        <f ca="1">SUM(OFFSET(I24,1,0):OFFSET(I29,-1,0))</f>
        <v>0</v>
      </c>
      <c r="J24" s="27">
        <f ca="1">SUM(OFFSET(J24,1,0):OFFSET(J29,-1,0))</f>
        <v>0</v>
      </c>
      <c r="K24" s="27">
        <f ca="1">SUM(OFFSET(K24,1,0):OFFSET(K29,-1,0))</f>
        <v>0</v>
      </c>
      <c r="L24" s="27">
        <f ca="1">SUM(OFFSET(L24,1,0):OFFSET(L29,-1,0))</f>
        <v>0</v>
      </c>
      <c r="M24" s="27">
        <f ca="1">SUM(OFFSET(M24,1,0):OFFSET(M29,-1,0))</f>
        <v>0</v>
      </c>
      <c r="N24" s="28">
        <f ca="1">SUM(OFFSET(N24,1,0):OFFSET(N29,-1,0))</f>
        <v>0</v>
      </c>
      <c r="O24" s="26">
        <f ca="1">SUM(C24:N24)</f>
        <v>0</v>
      </c>
    </row>
    <row r="25" spans="2:15" x14ac:dyDescent="0.3">
      <c r="B25" s="32" t="s">
        <v>11</v>
      </c>
      <c r="C25" s="29">
        <v>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3">
        <f>SUM(C25:N25)</f>
        <v>0</v>
      </c>
    </row>
    <row r="26" spans="2:15" x14ac:dyDescent="0.3">
      <c r="B26" s="32" t="s">
        <v>10</v>
      </c>
      <c r="C26" s="29">
        <v>0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3">
        <f>SUM(C26:N26)</f>
        <v>0</v>
      </c>
    </row>
    <row r="27" spans="2:15" x14ac:dyDescent="0.3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</row>
    <row r="28" spans="2:15" x14ac:dyDescent="0.3"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</row>
    <row r="29" spans="2:15" x14ac:dyDescent="0.3">
      <c r="B29" s="13" t="s">
        <v>4</v>
      </c>
      <c r="C29" s="27">
        <f ca="1">SUM(OFFSET(C29,1,0):OFFSET(C102,-1,0))</f>
        <v>1200</v>
      </c>
      <c r="D29" s="27">
        <f ca="1">SUM(OFFSET(D29,1,0):OFFSET(D102,-1,0))</f>
        <v>0</v>
      </c>
      <c r="E29" s="27">
        <f ca="1">SUM(OFFSET(E29,1,0):OFFSET(E102,-1,0))</f>
        <v>0</v>
      </c>
      <c r="F29" s="27">
        <f ca="1">SUM(OFFSET(F29,1,0):OFFSET(F102,-1,0))</f>
        <v>0</v>
      </c>
      <c r="G29" s="27">
        <f ca="1">SUM(OFFSET(G29,1,0):OFFSET(G102,-1,0))</f>
        <v>0</v>
      </c>
      <c r="H29" s="27">
        <f ca="1">SUM(OFFSET(H29,1,0):OFFSET(H102,-1,0))</f>
        <v>0</v>
      </c>
      <c r="I29" s="27">
        <f ca="1">SUM(OFFSET(I29,1,0):OFFSET(I102,-1,0))</f>
        <v>0</v>
      </c>
      <c r="J29" s="27">
        <f ca="1">SUM(OFFSET(J29,1,0):OFFSET(J102,-1,0))</f>
        <v>0</v>
      </c>
      <c r="K29" s="27">
        <f ca="1">SUM(OFFSET(K29,1,0):OFFSET(K102,-1,0))</f>
        <v>0</v>
      </c>
      <c r="L29" s="27">
        <f ca="1">SUM(OFFSET(L29,1,0):OFFSET(L102,-1,0))</f>
        <v>0</v>
      </c>
      <c r="M29" s="27">
        <f ca="1">SUM(OFFSET(M29,1,0):OFFSET(M102,-1,0))</f>
        <v>0</v>
      </c>
      <c r="N29" s="28">
        <f ca="1">SUM(OFFSET(N29,1,0):OFFSET(N102,-1,0))</f>
        <v>0</v>
      </c>
      <c r="O29" s="26">
        <f t="shared" ref="O29:O36" ca="1" si="3">SUM(C29:N29)</f>
        <v>1200</v>
      </c>
    </row>
    <row r="30" spans="2:15" x14ac:dyDescent="0.3">
      <c r="B30" s="32" t="s">
        <v>9</v>
      </c>
      <c r="C30" s="29">
        <v>350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3">
        <f t="shared" si="3"/>
        <v>350</v>
      </c>
    </row>
    <row r="31" spans="2:15" x14ac:dyDescent="0.3">
      <c r="B31" s="32" t="s">
        <v>14</v>
      </c>
      <c r="C31" s="29">
        <v>850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3">
        <f t="shared" si="3"/>
        <v>850</v>
      </c>
    </row>
    <row r="32" spans="2:15" x14ac:dyDescent="0.3">
      <c r="B32" s="32" t="s">
        <v>13</v>
      </c>
      <c r="C32" s="29">
        <v>0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3">
        <f t="shared" si="3"/>
        <v>0</v>
      </c>
    </row>
    <row r="33" spans="2:15" x14ac:dyDescent="0.3">
      <c r="B33" s="32" t="s">
        <v>22</v>
      </c>
      <c r="C33" s="29">
        <v>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3">
        <f t="shared" si="3"/>
        <v>0</v>
      </c>
    </row>
    <row r="34" spans="2:15" x14ac:dyDescent="0.3">
      <c r="B34" s="32" t="s">
        <v>23</v>
      </c>
      <c r="C34" s="29">
        <v>0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33">
        <f t="shared" si="3"/>
        <v>0</v>
      </c>
    </row>
    <row r="35" spans="2:15" x14ac:dyDescent="0.3">
      <c r="B35" s="32" t="s">
        <v>24</v>
      </c>
      <c r="C35" s="29">
        <v>0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3">
        <f t="shared" si="3"/>
        <v>0</v>
      </c>
    </row>
    <row r="36" spans="2:15" x14ac:dyDescent="0.3">
      <c r="B36" s="32" t="s">
        <v>25</v>
      </c>
      <c r="C36" s="29">
        <v>0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33">
        <f t="shared" si="3"/>
        <v>0</v>
      </c>
    </row>
    <row r="37" spans="2:15" x14ac:dyDescent="0.3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</row>
    <row r="38" spans="2:15" x14ac:dyDescent="0.3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/>
    </row>
    <row r="39" spans="2:15" x14ac:dyDescent="0.3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/>
    </row>
    <row r="40" spans="2:15" x14ac:dyDescent="0.3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/>
    </row>
    <row r="41" spans="2:15" x14ac:dyDescent="0.3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/>
    </row>
    <row r="42" spans="2:15" x14ac:dyDescent="0.3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/>
    </row>
    <row r="43" spans="2:15" x14ac:dyDescent="0.3"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/>
    </row>
    <row r="44" spans="2:15" x14ac:dyDescent="0.3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/>
    </row>
    <row r="45" spans="2:15" x14ac:dyDescent="0.3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/>
    </row>
    <row r="46" spans="2:15" x14ac:dyDescent="0.3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/>
    </row>
    <row r="47" spans="2:15" x14ac:dyDescent="0.3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</row>
    <row r="48" spans="2:15" x14ac:dyDescent="0.3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</row>
    <row r="49" spans="3:15" x14ac:dyDescent="0.3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/>
    </row>
    <row r="50" spans="3:15" x14ac:dyDescent="0.3"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/>
    </row>
    <row r="51" spans="3:15" x14ac:dyDescent="0.3"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/>
    </row>
    <row r="52" spans="3:15" x14ac:dyDescent="0.3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</row>
    <row r="53" spans="3:15" x14ac:dyDescent="0.3"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</row>
    <row r="54" spans="3:15" x14ac:dyDescent="0.3"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/>
    </row>
    <row r="55" spans="3:15" x14ac:dyDescent="0.3"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/>
    </row>
    <row r="56" spans="3:15" x14ac:dyDescent="0.3"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/>
    </row>
    <row r="57" spans="3:15" x14ac:dyDescent="0.3"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6"/>
    </row>
    <row r="58" spans="3:15" x14ac:dyDescent="0.3"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/>
    </row>
    <row r="59" spans="3:15" x14ac:dyDescent="0.3"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/>
    </row>
    <row r="60" spans="3:15" x14ac:dyDescent="0.3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6"/>
    </row>
    <row r="61" spans="3:15" x14ac:dyDescent="0.3"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/>
    </row>
    <row r="62" spans="3:15" x14ac:dyDescent="0.3"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6"/>
    </row>
    <row r="63" spans="3:15" x14ac:dyDescent="0.3"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/>
    </row>
    <row r="64" spans="3:15" x14ac:dyDescent="0.3"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6"/>
    </row>
    <row r="65" spans="3:15" x14ac:dyDescent="0.3"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/>
    </row>
    <row r="66" spans="3:15" x14ac:dyDescent="0.3"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6"/>
    </row>
    <row r="67" spans="3:15" x14ac:dyDescent="0.3"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/>
    </row>
    <row r="68" spans="3:15" x14ac:dyDescent="0.3"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6"/>
    </row>
    <row r="69" spans="3:15" x14ac:dyDescent="0.3"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/>
    </row>
    <row r="70" spans="3:15" x14ac:dyDescent="0.3"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/>
    </row>
    <row r="71" spans="3:15" x14ac:dyDescent="0.3"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/>
    </row>
    <row r="72" spans="3:15" x14ac:dyDescent="0.3"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6"/>
    </row>
    <row r="73" spans="3:15" x14ac:dyDescent="0.3"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/>
    </row>
    <row r="74" spans="3:15" x14ac:dyDescent="0.3"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6"/>
    </row>
    <row r="75" spans="3:15" x14ac:dyDescent="0.3"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6"/>
    </row>
    <row r="76" spans="3:15" x14ac:dyDescent="0.3"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</row>
    <row r="77" spans="3:15" x14ac:dyDescent="0.3"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</row>
    <row r="78" spans="3:15" x14ac:dyDescent="0.3"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</row>
    <row r="79" spans="3:15" x14ac:dyDescent="0.3"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</row>
    <row r="80" spans="3:15" x14ac:dyDescent="0.3"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</row>
    <row r="81" spans="3:15" x14ac:dyDescent="0.3"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</row>
    <row r="82" spans="3:15" x14ac:dyDescent="0.3"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</row>
    <row r="83" spans="3:15" x14ac:dyDescent="0.3"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</row>
    <row r="84" spans="3:15" x14ac:dyDescent="0.3"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</row>
    <row r="85" spans="3:15" x14ac:dyDescent="0.3"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</row>
    <row r="86" spans="3:15" x14ac:dyDescent="0.3"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/>
    </row>
    <row r="87" spans="3:15" x14ac:dyDescent="0.3"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</row>
    <row r="88" spans="3:15" x14ac:dyDescent="0.3"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6"/>
    </row>
    <row r="89" spans="3:15" x14ac:dyDescent="0.3"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</row>
    <row r="90" spans="3:15" x14ac:dyDescent="0.3"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6"/>
    </row>
    <row r="91" spans="3:15" x14ac:dyDescent="0.3"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</row>
    <row r="92" spans="3:15" x14ac:dyDescent="0.3"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6"/>
    </row>
    <row r="93" spans="3:15" x14ac:dyDescent="0.3"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</row>
    <row r="94" spans="3:15" x14ac:dyDescent="0.3"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6"/>
    </row>
    <row r="95" spans="3:15" x14ac:dyDescent="0.3"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</row>
    <row r="96" spans="3:15" x14ac:dyDescent="0.3"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/>
    </row>
    <row r="97" spans="3:15" x14ac:dyDescent="0.3"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</row>
    <row r="98" spans="3:15" x14ac:dyDescent="0.3"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6"/>
    </row>
    <row r="99" spans="3:15" x14ac:dyDescent="0.3"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</row>
    <row r="100" spans="3:15" x14ac:dyDescent="0.3"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6"/>
    </row>
    <row r="101" spans="3:15" x14ac:dyDescent="0.3"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</row>
    <row r="102" spans="3:15" x14ac:dyDescent="0.3">
      <c r="O102" s="17"/>
    </row>
  </sheetData>
  <mergeCells count="3">
    <mergeCell ref="N1:O1"/>
    <mergeCell ref="J2:O2"/>
    <mergeCell ref="J3:O3"/>
  </mergeCells>
  <phoneticPr fontId="0" type="noConversion"/>
  <dataValidations count="1">
    <dataValidation operator="greaterThanOrEqual" allowBlank="1" showInputMessage="1" showErrorMessage="1" errorTitle="Aviso" error="Use valores positivos tanto para ingresos como para gastos." sqref="C7 C13:N101" xr:uid="{00000000-0002-0000-0000-000000000000}"/>
  </dataValidations>
  <hyperlinks>
    <hyperlink ref="N1" r:id="rId1" xr:uid="{00000000-0004-0000-0000-000000000000}"/>
    <hyperlink ref="N1:O1" location="TodoExcel!A1" tooltip="Soluciones para hojas Excel" display="www.todoexcel.com" xr:uid="{00000000-0004-0000-0000-000001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Flujo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www.todoexcel.com</dc:creator>
  <cp:lastModifiedBy>Miguel Saa</cp:lastModifiedBy>
  <dcterms:created xsi:type="dcterms:W3CDTF">2006-09-14T22:01:48Z</dcterms:created>
  <dcterms:modified xsi:type="dcterms:W3CDTF">2026-03-08T15:02:54Z</dcterms:modified>
</cp:coreProperties>
</file>